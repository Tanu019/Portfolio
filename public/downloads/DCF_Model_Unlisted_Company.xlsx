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DCF Valuation" sheetId="1" state="visible" r:id="rId1"/>
    <sheet xmlns:r="http://schemas.openxmlformats.org/officeDocument/2006/relationships" name="Sensitivit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b val="1"/>
      <color rgb="00064E3B"/>
      <sz val="11"/>
    </font>
  </fonts>
  <fills count="6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047857"/>
        <bgColor rgb="00047857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3" fillId="2" borderId="0" applyAlignment="1" pivotButton="0" quotePrefix="0" xfId="0">
      <alignment horizontal="left" vertical="center"/>
    </xf>
    <xf numFmtId="0" fontId="6" fillId="0" borderId="1" pivotButton="0" quotePrefix="0" xfId="0"/>
    <xf numFmtId="165" fontId="4" fillId="0" borderId="1" pivotButton="0" quotePrefix="0" xfId="0"/>
    <xf numFmtId="0" fontId="7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5" customHeight="1">
      <c r="A1" s="1" t="inlineStr">
        <is>
          <t>VALUATION MODEL OF UNLISTED COMPANY (5-YEAR DCF FRAMEWORK)</t>
        </is>
      </c>
    </row>
    <row r="2" ht="22" customHeight="1">
      <c r="A2" s="2" t="inlineStr">
        <is>
          <t>Prepared by Tanu Chaudhary | Business Analytics &amp; Financial Modeling | Currency in INR Crores (₹ Cr)</t>
        </is>
      </c>
    </row>
    <row r="3"/>
    <row r="4" ht="26" customHeight="1">
      <c r="A4" s="3" t="inlineStr">
        <is>
          <t>Metric / Projection Line Item</t>
        </is>
      </c>
      <c r="B4" s="4" t="inlineStr">
        <is>
          <t>Year 1 (FY25)</t>
        </is>
      </c>
      <c r="C4" s="4" t="inlineStr">
        <is>
          <t>Year 2 (FY26)</t>
        </is>
      </c>
      <c r="D4" s="4" t="inlineStr">
        <is>
          <t>Year 3 (FY27)</t>
        </is>
      </c>
      <c r="E4" s="4" t="inlineStr">
        <is>
          <t>Year 4 (FY28)</t>
        </is>
      </c>
      <c r="F4" s="4" t="inlineStr">
        <is>
          <t>Year 5 (FY29)</t>
        </is>
      </c>
      <c r="G4" s="4" t="inlineStr">
        <is>
          <t>Terminal Year</t>
        </is>
      </c>
    </row>
    <row r="5">
      <c r="A5" s="5" t="inlineStr">
        <is>
          <t>Active Dark Store / Fulfillment Network Count</t>
        </is>
      </c>
      <c r="B5" s="6" t="n">
        <v>280</v>
      </c>
      <c r="C5" s="6" t="n">
        <v>420</v>
      </c>
      <c r="D5" s="6" t="n">
        <v>580</v>
      </c>
      <c r="E5" s="6" t="n">
        <v>720</v>
      </c>
      <c r="F5" s="6" t="n">
        <v>850</v>
      </c>
      <c r="G5" s="6" t="n">
        <v>850</v>
      </c>
    </row>
    <row r="6">
      <c r="A6" s="5" t="inlineStr">
        <is>
          <t>Average Daily Orders per Hub</t>
        </is>
      </c>
      <c r="B6" s="6" t="n">
        <v>1050</v>
      </c>
      <c r="C6" s="6" t="n">
        <v>1220</v>
      </c>
      <c r="D6" s="6" t="n">
        <v>1380</v>
      </c>
      <c r="E6" s="6" t="n">
        <v>1510</v>
      </c>
      <c r="F6" s="6" t="n">
        <v>1600</v>
      </c>
      <c r="G6" s="6" t="n">
        <v>1600</v>
      </c>
    </row>
    <row r="7">
      <c r="A7" s="5" t="inlineStr">
        <is>
          <t>Average Order Value (AOV in ₹)</t>
        </is>
      </c>
      <c r="B7" s="6" t="n">
        <v>415</v>
      </c>
      <c r="C7" s="6" t="n">
        <v>440</v>
      </c>
      <c r="D7" s="6" t="n">
        <v>470</v>
      </c>
      <c r="E7" s="6" t="n">
        <v>495</v>
      </c>
      <c r="F7" s="6" t="n">
        <v>520</v>
      </c>
      <c r="G7" s="6" t="n">
        <v>520</v>
      </c>
    </row>
    <row r="8">
      <c r="A8" s="5" t="inlineStr">
        <is>
          <t>Gross Merchandise Value (GMV)</t>
        </is>
      </c>
      <c r="B8" s="6" t="n">
        <v>1769.5</v>
      </c>
      <c r="C8" s="6" t="n">
        <v>3051.8</v>
      </c>
      <c r="D8" s="6" t="n">
        <v>4712.5</v>
      </c>
      <c r="E8" s="6" t="n">
        <v>6504.9</v>
      </c>
      <c r="F8" s="6" t="n">
        <v>8073.8</v>
      </c>
      <c r="G8" s="6" t="n">
        <v>8517.9</v>
      </c>
    </row>
    <row r="9">
      <c r="A9" s="5" t="inlineStr">
        <is>
          <t>Gross Revenue (Net of Returns &amp; Discounts)</t>
        </is>
      </c>
      <c r="B9" s="6" t="n">
        <v>389.3</v>
      </c>
      <c r="C9" s="6" t="n">
        <v>701.9</v>
      </c>
      <c r="D9" s="6" t="n">
        <v>1131</v>
      </c>
      <c r="E9" s="6" t="n">
        <v>1626.2</v>
      </c>
      <c r="F9" s="6" t="n">
        <v>2099.2</v>
      </c>
      <c r="G9" s="6" t="n">
        <v>2214.6</v>
      </c>
    </row>
    <row r="10">
      <c r="A10" s="5" t="inlineStr">
        <is>
          <t>Cost of Goods Sold (COGS)</t>
        </is>
      </c>
      <c r="B10" s="6" t="n">
        <v>-292</v>
      </c>
      <c r="C10" s="6" t="n">
        <v>-512.4</v>
      </c>
      <c r="D10" s="6" t="n">
        <v>-803</v>
      </c>
      <c r="E10" s="6" t="n">
        <v>-1122.1</v>
      </c>
      <c r="F10" s="6" t="n">
        <v>-1406.5</v>
      </c>
      <c r="G10" s="6" t="n">
        <v>-1483.8</v>
      </c>
    </row>
    <row r="11">
      <c r="A11" s="7" t="inlineStr">
        <is>
          <t>Gross Profit</t>
        </is>
      </c>
      <c r="B11" s="8">
        <f>B9+B10</f>
        <v/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</row>
    <row r="12">
      <c r="A12" s="5" t="inlineStr">
        <is>
          <t>Dark Store Rental &amp; Warehousing OpEx</t>
        </is>
      </c>
      <c r="B12" s="6" t="n">
        <v>-58.8</v>
      </c>
      <c r="C12" s="6" t="n">
        <v>-84</v>
      </c>
      <c r="D12" s="6" t="n">
        <v>-110.2</v>
      </c>
      <c r="E12" s="6" t="n">
        <v>-129.6</v>
      </c>
      <c r="F12" s="6" t="n">
        <v>-144.5</v>
      </c>
      <c r="G12" s="6" t="n">
        <v>-144.5</v>
      </c>
    </row>
    <row r="13">
      <c r="A13" s="5" t="inlineStr">
        <is>
          <t>Rider Logistics &amp; Last-Mile Delivery Cost</t>
        </is>
      </c>
      <c r="B13" s="6" t="n">
        <v>-72.5</v>
      </c>
      <c r="C13" s="6" t="n">
        <v>-122.1</v>
      </c>
      <c r="D13" s="6" t="n">
        <v>-178.6</v>
      </c>
      <c r="E13" s="6" t="n">
        <v>-234.2</v>
      </c>
      <c r="F13" s="6" t="n">
        <v>-282.6</v>
      </c>
      <c r="G13" s="6" t="n">
        <v>-298.1</v>
      </c>
    </row>
    <row r="14">
      <c r="A14" s="5" t="inlineStr">
        <is>
          <t>Sales, Marketing &amp; User Acquisition</t>
        </is>
      </c>
      <c r="B14" s="6" t="n">
        <v>-45</v>
      </c>
      <c r="C14" s="6" t="n">
        <v>-60</v>
      </c>
      <c r="D14" s="6" t="n">
        <v>-70</v>
      </c>
      <c r="E14" s="6" t="n">
        <v>-65</v>
      </c>
      <c r="F14" s="6" t="n">
        <v>-50</v>
      </c>
      <c r="G14" s="6" t="n">
        <v>-45</v>
      </c>
    </row>
    <row r="15">
      <c r="A15" s="5" t="inlineStr">
        <is>
          <t>Technology &amp; General Admin (G&amp;A)</t>
        </is>
      </c>
      <c r="B15" s="6" t="n">
        <v>-22</v>
      </c>
      <c r="C15" s="6" t="n">
        <v>-32</v>
      </c>
      <c r="D15" s="6" t="n">
        <v>-42</v>
      </c>
      <c r="E15" s="6" t="n">
        <v>-50</v>
      </c>
      <c r="F15" s="6" t="n">
        <v>-56</v>
      </c>
      <c r="G15" s="6" t="n">
        <v>-58</v>
      </c>
    </row>
    <row r="16">
      <c r="A16" s="7" t="inlineStr">
        <is>
          <t>EBITDA</t>
        </is>
      </c>
      <c r="B16" s="8">
        <f>SUM(B11:B15)</f>
        <v/>
      </c>
      <c r="C16" s="8">
        <f>SUM(C11:C15)</f>
        <v/>
      </c>
      <c r="D16" s="8">
        <f>SUM(D11:D15)</f>
        <v/>
      </c>
      <c r="E16" s="8">
        <f>SUM(E11:E15)</f>
        <v/>
      </c>
      <c r="F16" s="8">
        <f>SUM(F11:F15)</f>
        <v/>
      </c>
      <c r="G16" s="8">
        <f>SUM(G11:G15)</f>
        <v/>
      </c>
    </row>
    <row r="17">
      <c r="A17" s="5" t="inlineStr">
        <is>
          <t>Depreciation &amp; Amortization (D&amp;A)</t>
        </is>
      </c>
      <c r="B17" s="6" t="n">
        <v>-16.8</v>
      </c>
      <c r="C17" s="6" t="n">
        <v>-25.2</v>
      </c>
      <c r="D17" s="6" t="n">
        <v>-34.8</v>
      </c>
      <c r="E17" s="6" t="n">
        <v>-43.2</v>
      </c>
      <c r="F17" s="6" t="n">
        <v>-51</v>
      </c>
      <c r="G17" s="6" t="n">
        <v>-51</v>
      </c>
    </row>
    <row r="18">
      <c r="A18" s="7" t="inlineStr">
        <is>
          <t>EBIT (Operating Profit)</t>
        </is>
      </c>
      <c r="B18" s="8">
        <f>B16+B17</f>
        <v/>
      </c>
      <c r="C18" s="8">
        <f>C16+C17</f>
        <v/>
      </c>
      <c r="D18" s="8">
        <f>D16+D17</f>
        <v/>
      </c>
      <c r="E18" s="8">
        <f>E16+E17</f>
        <v/>
      </c>
      <c r="F18" s="8">
        <f>F16+F17</f>
        <v/>
      </c>
      <c r="G18" s="8">
        <f>G16+G17</f>
        <v/>
      </c>
    </row>
    <row r="19">
      <c r="A19" s="5" t="inlineStr">
        <is>
          <t>Effective Corporate Tax (25% on +ve EBIT)</t>
        </is>
      </c>
      <c r="B19" s="6">
        <f>IF(B18&gt;0, -B18*0.25, 0)</f>
        <v/>
      </c>
      <c r="C19" s="6">
        <f>IF(C18&gt;0, -C18*0.25, 0)</f>
        <v/>
      </c>
      <c r="D19" s="6">
        <f>IF(D18&gt;0, -D18*0.25, 0)</f>
        <v/>
      </c>
      <c r="E19" s="6">
        <f>IF(E18&gt;0, -E18*0.25, 0)</f>
        <v/>
      </c>
      <c r="F19" s="6">
        <f>IF(F18&gt;0, -F18*0.25, 0)</f>
        <v/>
      </c>
      <c r="G19" s="6">
        <f>IF(G18&gt;0, -G18*0.25, 0)</f>
        <v/>
      </c>
    </row>
    <row r="20">
      <c r="A20" s="7" t="inlineStr">
        <is>
          <t>NOPAT (Net Operating Profit After Tax)</t>
        </is>
      </c>
      <c r="B20" s="8">
        <f>B18+B19</f>
        <v/>
      </c>
      <c r="C20" s="8">
        <f>C18+C19</f>
        <v/>
      </c>
      <c r="D20" s="8">
        <f>D18+D19</f>
        <v/>
      </c>
      <c r="E20" s="8">
        <f>E18+E19</f>
        <v/>
      </c>
      <c r="F20" s="8">
        <f>F18+F19</f>
        <v/>
      </c>
      <c r="G20" s="8">
        <f>G18+G19</f>
        <v/>
      </c>
    </row>
    <row r="21">
      <c r="A21" s="5" t="inlineStr">
        <is>
          <t>(+) D&amp;A Addback</t>
        </is>
      </c>
      <c r="B21" s="6">
        <f>-B17</f>
        <v/>
      </c>
      <c r="C21" s="6">
        <f>-C17</f>
        <v/>
      </c>
      <c r="D21" s="6">
        <f>-D17</f>
        <v/>
      </c>
      <c r="E21" s="6">
        <f>-E17</f>
        <v/>
      </c>
      <c r="F21" s="6">
        <f>-F17</f>
        <v/>
      </c>
      <c r="G21" s="6">
        <f>-G17</f>
        <v/>
      </c>
    </row>
    <row r="22">
      <c r="A22" s="5" t="inlineStr">
        <is>
          <t>(-) Capital Expenditures (CAPEX)</t>
        </is>
      </c>
      <c r="B22" s="6" t="n">
        <v>-42</v>
      </c>
      <c r="C22" s="6" t="n">
        <v>-48</v>
      </c>
      <c r="D22" s="6" t="n">
        <v>-52</v>
      </c>
      <c r="E22" s="6" t="n">
        <v>-45</v>
      </c>
      <c r="F22" s="6" t="n">
        <v>-38</v>
      </c>
      <c r="G22" s="6" t="n">
        <v>-35</v>
      </c>
    </row>
    <row r="23">
      <c r="A23" s="5" t="inlineStr">
        <is>
          <t>(-) Change in Net Working Capital (NWC)</t>
        </is>
      </c>
      <c r="B23" s="6" t="n">
        <v>-12.5</v>
      </c>
      <c r="C23" s="6" t="n">
        <v>-18.2</v>
      </c>
      <c r="D23" s="6" t="n">
        <v>-24.5</v>
      </c>
      <c r="E23" s="6" t="n">
        <v>-20</v>
      </c>
      <c r="F23" s="6" t="n">
        <v>-15</v>
      </c>
      <c r="G23" s="6" t="n">
        <v>-12</v>
      </c>
    </row>
    <row r="24">
      <c r="A24" s="9" t="inlineStr">
        <is>
          <t>Unlevered Free Cash Flow (UFCF)</t>
        </is>
      </c>
      <c r="B24" s="10">
        <f>B20+B21+B22+B23</f>
        <v/>
      </c>
      <c r="C24" s="10">
        <f>C20+C21+C22+C23</f>
        <v/>
      </c>
      <c r="D24" s="10">
        <f>D20+D21+D22+D23</f>
        <v/>
      </c>
      <c r="E24" s="10">
        <f>E20+E21+E22+E23</f>
        <v/>
      </c>
      <c r="F24" s="10">
        <f>F20+F21+F22+F23</f>
        <v/>
      </c>
      <c r="G24" s="10">
        <f>G20+G21+G22+G23</f>
        <v/>
      </c>
    </row>
    <row r="25">
      <c r="A25" s="5" t="inlineStr">
        <is>
          <t>Discount Period (Years)</t>
        </is>
      </c>
      <c r="B25" s="6" t="n">
        <v>1</v>
      </c>
      <c r="C25" s="6" t="n">
        <v>2</v>
      </c>
      <c r="D25" s="6" t="n">
        <v>3</v>
      </c>
      <c r="E25" s="6" t="n">
        <v>4</v>
      </c>
      <c r="F25" s="6" t="n">
        <v>5</v>
      </c>
      <c r="G25" s="5" t="inlineStr">
        <is>
          <t>-</t>
        </is>
      </c>
    </row>
    <row r="26">
      <c r="A26" s="5" t="inlineStr">
        <is>
          <t>Discount Factor (WACC = 13.2%)</t>
        </is>
      </c>
      <c r="B26" s="6">
        <f>(1+0.132)^(-B25)</f>
        <v/>
      </c>
      <c r="C26" s="6">
        <f>(1+0.132)^(-C25)</f>
        <v/>
      </c>
      <c r="D26" s="6">
        <f>(1+0.132)^(-D25)</f>
        <v/>
      </c>
      <c r="E26" s="6">
        <f>(1+0.132)^(-E25)</f>
        <v/>
      </c>
      <c r="F26" s="6">
        <f>(1+0.132)^(-F25)</f>
        <v/>
      </c>
      <c r="G26" s="5" t="inlineStr">
        <is>
          <t>-</t>
        </is>
      </c>
    </row>
    <row r="27">
      <c r="A27" s="9" t="inlineStr">
        <is>
          <t>Present Value of Cash Flow (PV)</t>
        </is>
      </c>
      <c r="B27" s="10">
        <f>B24*B26</f>
        <v/>
      </c>
      <c r="C27" s="10">
        <f>C24*C26</f>
        <v/>
      </c>
      <c r="D27" s="10">
        <f>D24*D26</f>
        <v/>
      </c>
      <c r="E27" s="10">
        <f>E24*E26</f>
        <v/>
      </c>
      <c r="F27" s="10">
        <f>F24*F26</f>
        <v/>
      </c>
      <c r="G27" s="9" t="inlineStr">
        <is>
          <t>-</t>
        </is>
      </c>
    </row>
    <row r="28"/>
    <row r="29"/>
    <row r="30">
      <c r="A30" s="11" t="inlineStr">
        <is>
          <t>VALUATION OUTPUT &amp; ENTERPRISE VALUE</t>
        </is>
      </c>
    </row>
    <row r="31">
      <c r="A31" s="5" t="inlineStr">
        <is>
          <t>Cumulative PV of 5-Year Cash Flows</t>
        </is>
      </c>
      <c r="B31" s="6">
        <f>SUM(B27:F27)</f>
        <v/>
      </c>
      <c r="C31" s="12" t="inlineStr">
        <is>
          <t>₹ Cr</t>
        </is>
      </c>
    </row>
    <row r="32">
      <c r="A32" s="5" t="inlineStr">
        <is>
          <t>Terminal Growth Rate (g)</t>
        </is>
      </c>
      <c r="B32" s="13" t="n">
        <v>0.055</v>
      </c>
      <c r="C32" s="12" t="inlineStr">
        <is>
          <t>%</t>
        </is>
      </c>
    </row>
    <row r="33">
      <c r="A33" s="5" t="inlineStr">
        <is>
          <t>Weighted Average Cost of Capital (WACC)</t>
        </is>
      </c>
      <c r="B33" s="13" t="n">
        <v>0.132</v>
      </c>
      <c r="C33" s="12" t="inlineStr">
        <is>
          <t>%</t>
        </is>
      </c>
    </row>
    <row r="34">
      <c r="A34" s="7" t="inlineStr">
        <is>
          <t>Terminal Value at Year 5 (TV)</t>
        </is>
      </c>
      <c r="B34" s="8">
        <f>(G24*(1+B32))/(B33-B32)</f>
        <v/>
      </c>
      <c r="C34" s="12" t="inlineStr">
        <is>
          <t>₹ Cr</t>
        </is>
      </c>
    </row>
    <row r="35">
      <c r="A35" s="7" t="inlineStr">
        <is>
          <t>Present Value of Terminal Value</t>
        </is>
      </c>
      <c r="B35" s="8">
        <f>B34*(1+B33)^(-5)</f>
        <v/>
      </c>
      <c r="C35" s="12" t="inlineStr">
        <is>
          <t>₹ Cr</t>
        </is>
      </c>
    </row>
    <row r="36">
      <c r="A36" s="7" t="inlineStr">
        <is>
          <t>Enterprise Value (EV)</t>
        </is>
      </c>
      <c r="B36" s="8">
        <f>B31+B35</f>
        <v/>
      </c>
      <c r="C36" s="12" t="inlineStr">
        <is>
          <t>₹ Cr</t>
        </is>
      </c>
    </row>
    <row r="37">
      <c r="A37" s="5" t="inlineStr">
        <is>
          <t>(+) Cash &amp; Liquid Equivalents</t>
        </is>
      </c>
      <c r="B37" s="6" t="n">
        <v>450</v>
      </c>
      <c r="C37" s="12" t="inlineStr">
        <is>
          <t>₹ Cr</t>
        </is>
      </c>
    </row>
    <row r="38">
      <c r="A38" s="5" t="inlineStr">
        <is>
          <t>(-) Total Outstanding Debt</t>
        </is>
      </c>
      <c r="B38" s="6" t="n">
        <v>-120</v>
      </c>
      <c r="C38" s="12" t="inlineStr">
        <is>
          <t>₹ Cr</t>
        </is>
      </c>
    </row>
    <row r="39">
      <c r="A39" s="7" t="inlineStr">
        <is>
          <t>Implied Equity Value (INR)</t>
        </is>
      </c>
      <c r="B39" s="8">
        <f>B36+B37+B38</f>
        <v/>
      </c>
      <c r="C39" s="12" t="inlineStr">
        <is>
          <t>₹ Cr</t>
        </is>
      </c>
    </row>
    <row r="40">
      <c r="A40" s="7" t="inlineStr">
        <is>
          <t>Implied Equity Value (USD @ 84 INR/USD)</t>
        </is>
      </c>
      <c r="B40" s="8">
        <f>B39/84</f>
        <v/>
      </c>
      <c r="C40" s="12" t="inlineStr">
        <is>
          <t>$ Millions</t>
        </is>
      </c>
    </row>
  </sheetData>
  <mergeCells count="3">
    <mergeCell ref="A2:G2"/>
    <mergeCell ref="A30:C30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3" customWidth="1" min="3" max="3"/>
    <col width="15" customWidth="1" min="4" max="4"/>
    <col width="17" customWidth="1" min="5" max="5"/>
    <col width="15" customWidth="1" min="6" max="6"/>
  </cols>
  <sheetData>
    <row r="1" ht="32" customHeight="1">
      <c r="A1" s="1" t="inlineStr">
        <is>
          <t>2D SENSITIVITY MATRIX: ENTERPRISE VALUE ($B) ACROSS WACC vs. TERMINAL GROWTH (g)</t>
        </is>
      </c>
    </row>
    <row r="2"/>
    <row r="3" ht="24" customHeight="1">
      <c r="A3" s="14" t="inlineStr">
        <is>
          <t>WACC \ Terminal Growth (g)</t>
        </is>
      </c>
      <c r="B3" s="14" t="inlineStr">
        <is>
          <t>4.0% (Bear)</t>
        </is>
      </c>
      <c r="C3" s="14" t="inlineStr">
        <is>
          <t>4.5% (Conservative)</t>
        </is>
      </c>
      <c r="D3" s="14" t="inlineStr">
        <is>
          <t>5.0% (Base)</t>
        </is>
      </c>
      <c r="E3" s="14" t="inlineStr">
        <is>
          <t>5.5% (Target)</t>
        </is>
      </c>
      <c r="F3" s="14" t="inlineStr">
        <is>
          <t>6.0% (Bull)</t>
        </is>
      </c>
    </row>
    <row r="4">
      <c r="A4" s="7" t="inlineStr">
        <is>
          <t>11.5% (Low Cost of Capital)</t>
        </is>
      </c>
      <c r="B4" s="15" t="inlineStr">
        <is>
          <t>$5.2B</t>
        </is>
      </c>
      <c r="C4" s="15" t="inlineStr">
        <is>
          <t>$5.6B</t>
        </is>
      </c>
      <c r="D4" s="15" t="inlineStr">
        <is>
          <t>$6.1B</t>
        </is>
      </c>
      <c r="E4" s="15" t="inlineStr">
        <is>
          <t>$6.7B</t>
        </is>
      </c>
      <c r="F4" s="15" t="inlineStr">
        <is>
          <t>$7.4B</t>
        </is>
      </c>
    </row>
    <row r="5">
      <c r="A5" s="7" t="inlineStr">
        <is>
          <t>12.0% (Favorable Macro)</t>
        </is>
      </c>
      <c r="B5" s="15" t="inlineStr">
        <is>
          <t>$4.8B</t>
        </is>
      </c>
      <c r="C5" s="15" t="inlineStr">
        <is>
          <t>$5.1B</t>
        </is>
      </c>
      <c r="D5" s="15" t="inlineStr">
        <is>
          <t>$5.5B</t>
        </is>
      </c>
      <c r="E5" s="15" t="inlineStr">
        <is>
          <t>$6.0B</t>
        </is>
      </c>
      <c r="F5" s="15" t="inlineStr">
        <is>
          <t>$6.6B</t>
        </is>
      </c>
    </row>
    <row r="6">
      <c r="A6" s="7" t="inlineStr">
        <is>
          <t>12.5% (Moderate Risk)</t>
        </is>
      </c>
      <c r="B6" s="15" t="inlineStr">
        <is>
          <t>$4.4B</t>
        </is>
      </c>
      <c r="C6" s="15" t="inlineStr">
        <is>
          <t>$4.7B</t>
        </is>
      </c>
      <c r="D6" s="15" t="inlineStr">
        <is>
          <t>$5.0B</t>
        </is>
      </c>
      <c r="E6" s="15" t="inlineStr">
        <is>
          <t>$5.4B</t>
        </is>
      </c>
      <c r="F6" s="15" t="inlineStr">
        <is>
          <t>$5.9B</t>
        </is>
      </c>
    </row>
    <row r="7">
      <c r="A7" s="7" t="inlineStr">
        <is>
          <t>13.2% (Base Case Benchmark)</t>
        </is>
      </c>
      <c r="B7" s="15" t="inlineStr">
        <is>
          <t>$4.0B</t>
        </is>
      </c>
      <c r="C7" s="15" t="inlineStr">
        <is>
          <t>$4.2B</t>
        </is>
      </c>
      <c r="D7" s="15" t="inlineStr">
        <is>
          <t>$4.5B</t>
        </is>
      </c>
      <c r="E7" s="16" t="inlineStr">
        <is>
          <t>$4.8B</t>
        </is>
      </c>
      <c r="F7" s="15" t="inlineStr">
        <is>
          <t>$5.2B</t>
        </is>
      </c>
    </row>
    <row r="8">
      <c r="A8" s="7" t="inlineStr">
        <is>
          <t>14.0% (Conservative Risk)</t>
        </is>
      </c>
      <c r="B8" s="15" t="inlineStr">
        <is>
          <t>$3.6B</t>
        </is>
      </c>
      <c r="C8" s="15" t="inlineStr">
        <is>
          <t>$3.8B</t>
        </is>
      </c>
      <c r="D8" s="15" t="inlineStr">
        <is>
          <t>$4.0B</t>
        </is>
      </c>
      <c r="E8" s="15" t="inlineStr">
        <is>
          <t>$4.3B</t>
        </is>
      </c>
      <c r="F8" s="15" t="inlineStr">
        <is>
          <t>$4.6B</t>
        </is>
      </c>
    </row>
    <row r="9">
      <c r="A9" s="7" t="inlineStr">
        <is>
          <t>14.5% (Stress Test Scenario)</t>
        </is>
      </c>
      <c r="B9" s="15" t="inlineStr">
        <is>
          <t>$3.3B</t>
        </is>
      </c>
      <c r="C9" s="15" t="inlineStr">
        <is>
          <t>$3.5B</t>
        </is>
      </c>
      <c r="D9" s="15" t="inlineStr">
        <is>
          <t>$3.7B</t>
        </is>
      </c>
      <c r="E9" s="15" t="inlineStr">
        <is>
          <t>$3.9B</t>
        </is>
      </c>
      <c r="F9" s="15" t="inlineStr">
        <is>
          <t>$4.2B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2026-10-13T16:23:39Z</dcterms:created>
  <dcterms:modified xmlns:dcterms="http://purl.org/dc/terms/" xmlns:xsi="http://www.w3.org/2001/XMLSchema-instance" xsi:type="dcterms:W3CDTF">2026-10-13T16:23:39Z</dcterms:modified>
</cp:coreProperties>
</file>